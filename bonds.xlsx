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3" autoFilterDateGrouping="1"/>
  </bookViews>
  <sheets>
    <sheet name="Исходные данные" sheetId="1" state="visible" r:id="rId1"/>
    <sheet name="Ден.поток" sheetId="2" state="visible" r:id="rId2"/>
    <sheet name="Аналитика" sheetId="3" state="visible" r:id="rId3"/>
    <sheet name="Описание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\ &quot;₽&quot;"/>
    <numFmt numFmtId="165" formatCode="[$-419]mmmm\ yyyy;@"/>
    <numFmt numFmtId="166" formatCode="[$-F800]dddd\,\ mmmm\ dd\,\ yyyy"/>
    <numFmt numFmtId="167" formatCode="dd\.mm\.yyyy"/>
    <numFmt numFmtId="168" formatCode="DD.MM.YYYY"/>
    <numFmt numFmtId="169" formatCode="# ##0,00 ₽"/>
    <numFmt numFmtId="170" formatCode="yyyy-mm-dd h:mm:ss"/>
  </numFmts>
  <fonts count="4">
    <font>
      <name val="Aptos Narrow"/>
      <charset val="204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Display"/>
      <family val="2"/>
      <b val="1"/>
      <color theme="1"/>
      <sz val="11"/>
      <scheme val="major"/>
    </font>
    <font>
      <name val="Aptos Narrow"/>
      <charset val="204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0" fontId="3" fillId="0" borderId="0" pivotButton="0" quotePrefix="0" xfId="1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left" vertical="center"/>
    </xf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left" vertical="center"/>
    </xf>
    <xf numFmtId="168" fontId="0" fillId="0" borderId="0" pivotButton="0" quotePrefix="0" xfId="0"/>
    <xf numFmtId="169" fontId="0" fillId="0" borderId="0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https://github.com/empenoso/moex-bond-search-and-analysis" TargetMode="External" Id="rId1" /><Relationship Type="http://schemas.openxmlformats.org/officeDocument/2006/relationships/hyperlink" Target="https://shardin.name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E11" sqref="E11"/>
    </sheetView>
  </sheetViews>
  <sheetFormatPr baseColWidth="8" defaultRowHeight="13.5"/>
  <cols>
    <col width="20" bestFit="1" customWidth="1" style="2" min="1" max="1"/>
    <col width="11.625" bestFit="1" customWidth="1" style="2" min="2" max="2"/>
  </cols>
  <sheetData>
    <row r="1" ht="27.75" customHeight="1">
      <c r="A1" s="3" t="inlineStr">
        <is>
          <t>Код ценной бумаги с Московской биржи</t>
        </is>
      </c>
      <c r="B1" s="4" t="inlineStr">
        <is>
          <t>Количество</t>
        </is>
      </c>
    </row>
    <row r="2">
      <c r="A2" s="11" t="inlineStr">
        <is>
          <t>RU000A10ATB6</t>
        </is>
      </c>
      <c r="B2" s="2" t="n">
        <v>198</v>
      </c>
    </row>
    <row r="3">
      <c r="A3" s="11" t="inlineStr">
        <is>
          <t>RU000A106HF5</t>
        </is>
      </c>
      <c r="B3" s="2" t="n">
        <v>242</v>
      </c>
    </row>
    <row r="4">
      <c r="A4" s="11" t="inlineStr">
        <is>
          <t>RU000A104ZK2</t>
        </is>
      </c>
      <c r="B4" s="2" t="n">
        <v>210</v>
      </c>
    </row>
    <row r="5">
      <c r="A5" s="11" t="inlineStr">
        <is>
          <t>RU000A1070X5</t>
        </is>
      </c>
      <c r="B5" s="2" t="n">
        <v>224</v>
      </c>
    </row>
    <row r="6">
      <c r="A6" s="11" t="inlineStr">
        <is>
          <t>RU000A10ARS4</t>
        </is>
      </c>
      <c r="B6" s="2" t="n">
        <v>196</v>
      </c>
    </row>
    <row r="7">
      <c r="A7" s="11" t="inlineStr">
        <is>
          <t>RU000A1077X0</t>
        </is>
      </c>
      <c r="B7" s="2" t="n">
        <v>254</v>
      </c>
    </row>
    <row r="8">
      <c r="A8" s="11" t="inlineStr">
        <is>
          <t>RU000A106JV8</t>
        </is>
      </c>
      <c r="B8" s="2" t="n">
        <v>207</v>
      </c>
    </row>
    <row r="9">
      <c r="A9" s="11" t="inlineStr">
        <is>
          <t>RU000A104YT6</t>
        </is>
      </c>
      <c r="B9" s="2" t="n">
        <v>205</v>
      </c>
    </row>
    <row r="10">
      <c r="A10" s="11" t="inlineStr">
        <is>
          <t>RU000A106A86</t>
        </is>
      </c>
      <c r="B10" s="2" t="n">
        <v>219</v>
      </c>
    </row>
    <row r="11">
      <c r="A11" s="11" t="inlineStr">
        <is>
          <t>RU000A103G00</t>
        </is>
      </c>
      <c r="B11" s="2" t="n">
        <v>242</v>
      </c>
    </row>
    <row r="12">
      <c r="A12" s="11" t="inlineStr">
        <is>
          <t>RU000A1066A1</t>
        </is>
      </c>
      <c r="B12" s="2" t="n">
        <v>229</v>
      </c>
    </row>
    <row r="13">
      <c r="A13" s="11" t="inlineStr">
        <is>
          <t>RU000A103QK3</t>
        </is>
      </c>
      <c r="B13" s="2" t="n">
        <v>240</v>
      </c>
    </row>
    <row r="14">
      <c r="A14" s="11" t="inlineStr">
        <is>
          <t>RU000A106TM6</t>
        </is>
      </c>
      <c r="B14" s="2" t="n">
        <v>201</v>
      </c>
    </row>
    <row r="15">
      <c r="A15" s="11" t="inlineStr">
        <is>
          <t>RU000A10AHE5</t>
        </is>
      </c>
      <c r="B15" s="2" t="n">
        <v>182</v>
      </c>
    </row>
    <row r="16">
      <c r="A16" s="11" t="inlineStr">
        <is>
          <t>RU000A101QF7</t>
        </is>
      </c>
      <c r="B16" s="2" t="n">
        <v>809</v>
      </c>
    </row>
    <row r="17">
      <c r="A17" s="11" t="inlineStr">
        <is>
          <t>RU000A105PP9</t>
        </is>
      </c>
      <c r="B17" s="2" t="n">
        <v>211</v>
      </c>
    </row>
    <row r="18">
      <c r="A18" s="11" t="inlineStr">
        <is>
          <t>RU000A106R95</t>
        </is>
      </c>
      <c r="B18" s="2" t="n">
        <v>223</v>
      </c>
    </row>
    <row r="19">
      <c r="A19" s="11" t="inlineStr">
        <is>
          <t>RU000A1089J4</t>
        </is>
      </c>
      <c r="B19" s="2" t="n">
        <v>211</v>
      </c>
    </row>
    <row r="20">
      <c r="A20" s="11" t="inlineStr">
        <is>
          <t>RU000A1066J2</t>
        </is>
      </c>
      <c r="B20" s="2" t="n">
        <v>214</v>
      </c>
    </row>
    <row r="21">
      <c r="A21" s="11" t="inlineStr">
        <is>
          <t>RU000A109ZK1</t>
        </is>
      </c>
      <c r="B21" s="2" t="n">
        <v>197</v>
      </c>
    </row>
    <row r="22">
      <c r="A22" s="11" t="inlineStr">
        <is>
          <t>RU000A10ANZ8</t>
        </is>
      </c>
      <c r="B22" s="2" t="n">
        <v>195</v>
      </c>
    </row>
    <row r="23">
      <c r="A23" s="11" t="inlineStr">
        <is>
          <t>RU000A0JVW71</t>
        </is>
      </c>
      <c r="B23" s="2" t="n">
        <v>186</v>
      </c>
    </row>
    <row r="24">
      <c r="A24" s="2" t="inlineStr">
        <is>
          <t>RU000A10ASS2</t>
        </is>
      </c>
      <c r="B24" s="2" t="n">
        <v>194</v>
      </c>
    </row>
    <row r="25">
      <c r="A25" s="2" t="inlineStr">
        <is>
          <t>RU000A10ASB8</t>
        </is>
      </c>
      <c r="B25" s="2" t="n">
        <v>193</v>
      </c>
    </row>
    <row r="26">
      <c r="A26" s="2" t="inlineStr">
        <is>
          <t>RU000A107MM9</t>
        </is>
      </c>
      <c r="B26" s="2" t="n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opLeftCell="A199" workbookViewId="0">
      <selection activeCell="D218" sqref="D218"/>
    </sheetView>
  </sheetViews>
  <sheetFormatPr baseColWidth="8" defaultColWidth="17.3125" defaultRowHeight="13.5"/>
  <cols>
    <col width="42.125" bestFit="1" customWidth="1" style="2" min="1" max="1"/>
    <col width="20.625" customWidth="1" style="2" min="2" max="2"/>
    <col width="12.25" bestFit="1" customWidth="1" style="5" min="3" max="3"/>
    <col width="40.9375" customWidth="1" style="6" min="4" max="4"/>
    <col width="17.3125" customWidth="1" style="2" min="5" max="11"/>
    <col width="17.3125" customWidth="1" style="2" min="12" max="16384"/>
  </cols>
  <sheetData>
    <row r="1" customFormat="1" s="1">
      <c r="A1" t="inlineStr">
        <is>
          <t>Название</t>
        </is>
      </c>
      <c r="B1" t="inlineStr">
        <is>
          <t>Идентификатор</t>
        </is>
      </c>
      <c r="C1" t="inlineStr">
        <is>
          <t>Дата выплаты</t>
        </is>
      </c>
      <c r="D1" t="inlineStr">
        <is>
          <t>Денежный поток, ₽ (купон | выплата номинала)</t>
        </is>
      </c>
    </row>
    <row r="2">
      <c r="A2" t="inlineStr">
        <is>
          <t>АБЗ-1 001P-05 (номинал 💯)</t>
        </is>
      </c>
      <c r="B2" t="inlineStr">
        <is>
          <t>RU000A1070X5</t>
        </is>
      </c>
      <c r="C2" s="26" t="n">
        <v>46295</v>
      </c>
      <c r="D2" s="27" t="n">
        <v>39200</v>
      </c>
    </row>
    <row r="3">
      <c r="A3" t="inlineStr">
        <is>
          <t>Мэйл.Ру Финанс 001P-01 (купон 🏷️)</t>
        </is>
      </c>
      <c r="B3" t="inlineStr">
        <is>
          <t>RU000A103QK3</t>
        </is>
      </c>
      <c r="C3" s="26" t="n">
        <v>46280</v>
      </c>
      <c r="D3" s="27" t="n">
        <v>9453.6</v>
      </c>
    </row>
    <row r="4">
      <c r="A4" t="inlineStr">
        <is>
          <t>Мэйл.Ру Финанс 001P-01 (номинал 💯)</t>
        </is>
      </c>
      <c r="B4" t="inlineStr">
        <is>
          <t>RU000A103QK3</t>
        </is>
      </c>
      <c r="C4" s="26" t="n">
        <v>46280</v>
      </c>
      <c r="D4" s="27" t="n">
        <v>240000</v>
      </c>
    </row>
    <row r="5">
      <c r="A5" t="inlineStr">
        <is>
          <t>Банк ВТБ (ПАО) Б-1-343 (номинал 💯)</t>
        </is>
      </c>
      <c r="B5" t="inlineStr">
        <is>
          <t>RU000A106TM6</t>
        </is>
      </c>
      <c r="C5" s="26" t="n">
        <v>46266</v>
      </c>
      <c r="D5" s="27" t="n">
        <v>201000</v>
      </c>
    </row>
    <row r="6">
      <c r="A6" t="inlineStr">
        <is>
          <t>Новые технологии 001Р-02 (купон 🏷️)</t>
        </is>
      </c>
      <c r="B6" t="inlineStr">
        <is>
          <t>RU000A10AHE5</t>
        </is>
      </c>
      <c r="C6" s="26" t="n">
        <v>46252</v>
      </c>
      <c r="D6" s="27" t="n">
        <v>4113.2</v>
      </c>
    </row>
    <row r="7">
      <c r="A7" t="inlineStr">
        <is>
          <t>Новые технологии 001Р-02 (номинал 💯)</t>
        </is>
      </c>
      <c r="B7" t="inlineStr">
        <is>
          <t>RU000A10AHE5</t>
        </is>
      </c>
      <c r="C7" s="26" t="n">
        <v>46372</v>
      </c>
      <c r="D7" s="27" t="n">
        <v>182000</v>
      </c>
    </row>
    <row r="8">
      <c r="A8" t="inlineStr">
        <is>
          <t>Селектел 001P-03R (купон 🏷️)</t>
        </is>
      </c>
      <c r="B8" t="inlineStr">
        <is>
          <t>RU000A106R95</t>
        </is>
      </c>
      <c r="C8" s="26" t="n">
        <v>46248</v>
      </c>
      <c r="D8" s="27" t="n">
        <v>14789.36</v>
      </c>
    </row>
    <row r="9">
      <c r="A9" t="inlineStr">
        <is>
          <t>Селектел 001P-03R (номинал 💯)</t>
        </is>
      </c>
      <c r="B9" t="inlineStr">
        <is>
          <t>RU000A106R95</t>
        </is>
      </c>
      <c r="C9" s="26" t="n">
        <v>46248</v>
      </c>
      <c r="D9" s="27" t="n">
        <v>223000</v>
      </c>
    </row>
    <row r="10">
      <c r="A10" t="inlineStr"/>
      <c r="B10" t="inlineStr">
        <is>
          <t>Данные автоматически обновлены 27.07.2026 в 15:15:09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E8" sqref="E8"/>
    </sheetView>
  </sheetViews>
  <sheetFormatPr baseColWidth="8" defaultColWidth="9.0625" defaultRowHeight="13.5"/>
  <cols>
    <col width="35.3125" customWidth="1" style="21" min="1" max="1"/>
    <col width="16.6875" bestFit="1" customWidth="1" style="6" min="2" max="2"/>
    <col width="24" customWidth="1" style="22" min="3" max="3"/>
    <col width="11.1875" bestFit="1" customWidth="1" style="6" min="4" max="4"/>
    <col width="9.0625" customWidth="1" style="2" min="5" max="9"/>
    <col width="9.0625" customWidth="1" style="2" min="10" max="16384"/>
  </cols>
  <sheetData>
    <row r="1">
      <c r="A1" s="23">
        <f>"🔍 Бюджет поступлений в рублях от "&amp;TEXT(DATE(YEAR(TODAY()),MONTH(TODAY()),DAY(TODAY())),"ДД.ММ.ГГГГ")&amp;" на год вперёд (итого "&amp;TEXT(SUMIFS(Ден.поток!D:D,Ден.поток!C:C,"&gt;="&amp;DATE(2025,1,1),Ден.поток!C:C,"&lt;"&amp;EDATE(DATE(2025,1,1),12)),"# ##0 ₽")&amp;"):"</f>
        <v/>
      </c>
    </row>
    <row r="2" ht="27.75" customFormat="1" customHeight="1" s="7">
      <c r="A2" s="24" t="inlineStr">
        <is>
          <t>Месяцы</t>
        </is>
      </c>
      <c r="B2" s="7" t="inlineStr">
        <is>
          <t>Только купоны, ₽</t>
        </is>
      </c>
      <c r="C2" s="8" t="inlineStr">
        <is>
          <t>Совокупные выплаты:
купоны + погашения, ₽</t>
        </is>
      </c>
      <c r="D2" s="9" t="n"/>
    </row>
    <row r="3">
      <c r="A3" s="21">
        <f>DATE(YEAR(TODAY()),MONTH(TODAY()),1)</f>
        <v/>
      </c>
      <c r="B3" s="6">
        <f>SUMIFS(Ден.поток!D:D,
            Ден.поток!C:C, "&gt;=" &amp; A3,
            Ден.поток!C:C, "&lt;" &amp; EDATE(A3,1),
            Ден.поток!A:A, "*(купон 🏷️)*")</f>
        <v/>
      </c>
      <c r="C3" s="6">
        <f>SUMIFS(Ден.поток!D:D,
            Ден.поток!C:C, "&gt;=" &amp; A3,
            Ден.поток!C:C, "&lt;" &amp; EDATE(A3,1))</f>
        <v/>
      </c>
    </row>
    <row r="4">
      <c r="A4" s="21">
        <f>EDATE(A3,1)</f>
        <v/>
      </c>
      <c r="B4" s="6">
        <f>SUMIFS(Ден.поток!D:D,
            Ден.поток!C:C, "&gt;=" &amp; A4,
            Ден.поток!C:C, "&lt;" &amp; EDATE(A4,1),
            Ден.поток!A:A, "*(купон 🏷️)*")</f>
        <v/>
      </c>
      <c r="C4" s="6">
        <f>SUMIFS(Ден.поток!D:D,
            Ден.поток!C:C, "&gt;=" &amp; A4,
            Ден.поток!C:C, "&lt;" &amp; EDATE(A4,1))</f>
        <v/>
      </c>
    </row>
    <row r="5">
      <c r="A5" s="21">
        <f>EDATE(A4,1)</f>
        <v/>
      </c>
      <c r="B5" s="6">
        <f>SUMIFS(Ден.поток!D:D,
            Ден.поток!C:C, "&gt;=" &amp; A5,
            Ден.поток!C:C, "&lt;" &amp; EDATE(A5,1),
            Ден.поток!A:A, "*(купон 🏷️)*")</f>
        <v/>
      </c>
      <c r="C5" s="6">
        <f>SUMIFS(Ден.поток!D:D,
            Ден.поток!C:C, "&gt;=" &amp; A5,
            Ден.поток!C:C, "&lt;" &amp; EDATE(A5,1))</f>
        <v/>
      </c>
    </row>
    <row r="6">
      <c r="A6" s="21">
        <f>EDATE(A5,1)</f>
        <v/>
      </c>
      <c r="B6" s="6">
        <f>SUMIFS(Ден.поток!D:D,
            Ден.поток!C:C, "&gt;=" &amp; A6,
            Ден.поток!C:C, "&lt;" &amp; EDATE(A6,1),
            Ден.поток!A:A, "*(купон 🏷️)*")</f>
        <v/>
      </c>
      <c r="C6" s="6">
        <f>SUMIFS(Ден.поток!D:D,
            Ден.поток!C:C, "&gt;=" &amp; A6,
            Ден.поток!C:C, "&lt;" &amp; EDATE(A6,1))</f>
        <v/>
      </c>
    </row>
    <row r="7">
      <c r="A7" s="21">
        <f>EDATE(A6,1)</f>
        <v/>
      </c>
      <c r="B7" s="6">
        <f>SUMIFS(Ден.поток!D:D,
            Ден.поток!C:C, "&gt;=" &amp; A7,
            Ден.поток!C:C, "&lt;" &amp; EDATE(A7,1),
            Ден.поток!A:A, "*(купон 🏷️)*")</f>
        <v/>
      </c>
      <c r="C7" s="6">
        <f>SUMIFS(Ден.поток!D:D,
            Ден.поток!C:C, "&gt;=" &amp; A7,
            Ден.поток!C:C, "&lt;" &amp; EDATE(A7,1))</f>
        <v/>
      </c>
    </row>
    <row r="8">
      <c r="A8" s="21">
        <f>EDATE(A7,1)</f>
        <v/>
      </c>
      <c r="B8" s="6">
        <f>SUMIFS(Ден.поток!D:D,
            Ден.поток!C:C, "&gt;=" &amp; A8,
            Ден.поток!C:C, "&lt;" &amp; EDATE(A8,1),
            Ден.поток!A:A, "*(купон 🏷️)*")</f>
        <v/>
      </c>
      <c r="C8" s="6">
        <f>SUMIFS(Ден.поток!D:D,
            Ден.поток!C:C, "&gt;=" &amp; A8,
            Ден.поток!C:C, "&lt;" &amp; EDATE(A8,1))</f>
        <v/>
      </c>
    </row>
    <row r="9">
      <c r="A9" s="21">
        <f>EDATE(A8,1)</f>
        <v/>
      </c>
      <c r="B9" s="6">
        <f>SUMIFS(Ден.поток!D:D,
            Ден.поток!C:C, "&gt;=" &amp; A9,
            Ден.поток!C:C, "&lt;" &amp; EDATE(A9,1),
            Ден.поток!A:A, "*(купон 🏷️)*")</f>
        <v/>
      </c>
      <c r="C9" s="6">
        <f>SUMIFS(Ден.поток!D:D,
            Ден.поток!C:C, "&gt;=" &amp; A9,
            Ден.поток!C:C, "&lt;" &amp; EDATE(A9,1))</f>
        <v/>
      </c>
    </row>
    <row r="10">
      <c r="A10" s="21">
        <f>EDATE(A9,1)</f>
        <v/>
      </c>
      <c r="B10" s="6">
        <f>SUMIFS(Ден.поток!D:D,
            Ден.поток!C:C, "&gt;=" &amp; A10,
            Ден.поток!C:C, "&lt;" &amp; EDATE(A10,1),
            Ден.поток!A:A, "*(купон 🏷️)*")</f>
        <v/>
      </c>
      <c r="C10" s="6">
        <f>SUMIFS(Ден.поток!D:D,
            Ден.поток!C:C, "&gt;=" &amp; A10,
            Ден.поток!C:C, "&lt;" &amp; EDATE(A10,1))</f>
        <v/>
      </c>
    </row>
    <row r="11">
      <c r="A11" s="21">
        <f>EDATE(A10,1)</f>
        <v/>
      </c>
      <c r="B11" s="6">
        <f>SUMIFS(Ден.поток!D:D,
            Ден.поток!C:C, "&gt;=" &amp; A11,
            Ден.поток!C:C, "&lt;" &amp; EDATE(A11,1),
            Ден.поток!A:A, "*(купон 🏷️)*")</f>
        <v/>
      </c>
      <c r="C11" s="6">
        <f>SUMIFS(Ден.поток!D:D,
            Ден.поток!C:C, "&gt;=" &amp; A11,
            Ден.поток!C:C, "&lt;" &amp; EDATE(A11,1))</f>
        <v/>
      </c>
    </row>
    <row r="12">
      <c r="A12" s="21">
        <f>EDATE(A11,1)</f>
        <v/>
      </c>
      <c r="B12" s="6">
        <f>SUMIFS(Ден.поток!D:D,
            Ден.поток!C:C, "&gt;=" &amp; A12,
            Ден.поток!C:C, "&lt;" &amp; EDATE(A12,1),
            Ден.поток!A:A, "*(купон 🏷️)*")</f>
        <v/>
      </c>
      <c r="C12" s="6">
        <f>SUMIFS(Ден.поток!D:D,
            Ден.поток!C:C, "&gt;=" &amp; A12,
            Ден.поток!C:C, "&lt;" &amp; EDATE(A12,1))</f>
        <v/>
      </c>
    </row>
    <row r="13">
      <c r="A13" s="21">
        <f>EDATE(A12,1)</f>
        <v/>
      </c>
      <c r="B13" s="6">
        <f>SUMIFS(Ден.поток!D:D,
            Ден.поток!C:C, "&gt;=" &amp; A13,
            Ден.поток!C:C, "&lt;" &amp; EDATE(A13,1),
            Ден.поток!A:A, "*(купон 🏷️)*")</f>
        <v/>
      </c>
      <c r="C13" s="6">
        <f>SUMIFS(Ден.поток!D:D,
            Ден.поток!C:C, "&gt;=" &amp; A13,
            Ден.поток!C:C, "&lt;" &amp; EDATE(A13,1))</f>
        <v/>
      </c>
    </row>
    <row r="14">
      <c r="A14" s="21">
        <f>EDATE(A13,1)</f>
        <v/>
      </c>
      <c r="B14" s="6">
        <f>SUMIFS(Ден.поток!D:D,
            Ден.поток!C:C, "&gt;=" &amp; A14,
            Ден.поток!C:C, "&lt;" &amp; EDATE(A14,1),
            Ден.поток!A:A, "*(купон 🏷️)*")</f>
        <v/>
      </c>
      <c r="C14" s="6">
        <f>SUMIFS(Ден.поток!D:D,
            Ден.поток!C:C, "&gt;=" &amp; A14,
            Ден.поток!C:C, "&lt;" &amp; EDATE(A14,1))</f>
        <v/>
      </c>
    </row>
    <row r="16" ht="13.9" customHeight="1">
      <c r="A16" s="25">
        <f>"💰 Все ближайшие выплаты с "&amp;TEXT(TODAY(),"ДД.ММ.ГГГГ")&amp;" по "&amp;TEXT(TODAY()+30,"ДД.ММ.ГГГГ")&amp;":"</f>
        <v/>
      </c>
    </row>
    <row r="17">
      <c r="A17" s="21">
        <f t="array" ref="A17:D29">_xlfn._xlws.FILTER(Ден.поток!A:D, (Ден.поток!C:C&gt;=TODAY()) * (Ден.поток!C:C&lt;=TODAY()+30) * (Ден.поток!A:A&lt;&gt;""), "Нет выплат в ближайшие 30 дней")</f>
        <v/>
      </c>
      <c r="B17" s="6">
        <f/>
        <v/>
      </c>
      <c r="C17" s="22">
        <f/>
        <v/>
      </c>
      <c r="D17" s="6">
        <f/>
        <v/>
      </c>
    </row>
    <row r="18">
      <c r="A18" s="21">
        <f/>
        <v/>
      </c>
      <c r="B18" s="6">
        <f/>
        <v/>
      </c>
      <c r="C18" s="22">
        <f/>
        <v/>
      </c>
      <c r="D18" s="6">
        <f/>
        <v/>
      </c>
    </row>
    <row r="19">
      <c r="A19" s="21">
        <f/>
        <v/>
      </c>
      <c r="B19" s="6">
        <f/>
        <v/>
      </c>
      <c r="C19" s="22">
        <f/>
        <v/>
      </c>
      <c r="D19" s="6">
        <f/>
        <v/>
      </c>
    </row>
    <row r="20">
      <c r="A20" s="21">
        <f/>
        <v/>
      </c>
      <c r="B20" s="6">
        <f/>
        <v/>
      </c>
      <c r="C20" s="22">
        <f/>
        <v/>
      </c>
      <c r="D20" s="6">
        <f/>
        <v/>
      </c>
    </row>
    <row r="21">
      <c r="A21" s="21">
        <f/>
        <v/>
      </c>
      <c r="B21" s="6">
        <f/>
        <v/>
      </c>
      <c r="C21" s="22">
        <f/>
        <v/>
      </c>
      <c r="D21" s="6">
        <f/>
        <v/>
      </c>
    </row>
    <row r="22">
      <c r="A22" s="21">
        <f/>
        <v/>
      </c>
      <c r="B22" s="6">
        <f/>
        <v/>
      </c>
      <c r="C22" s="22">
        <f/>
        <v/>
      </c>
      <c r="D22" s="6">
        <f/>
        <v/>
      </c>
    </row>
    <row r="23">
      <c r="A23" s="21">
        <f/>
        <v/>
      </c>
      <c r="B23" s="6">
        <f/>
        <v/>
      </c>
      <c r="C23" s="22">
        <f/>
        <v/>
      </c>
      <c r="D23" s="6">
        <f/>
        <v/>
      </c>
    </row>
    <row r="24">
      <c r="A24" s="21">
        <f/>
        <v/>
      </c>
      <c r="B24" s="6">
        <f/>
        <v/>
      </c>
      <c r="C24" s="22">
        <f/>
        <v/>
      </c>
      <c r="D24" s="6">
        <f/>
        <v/>
      </c>
    </row>
    <row r="25">
      <c r="A25" s="21">
        <f/>
        <v/>
      </c>
      <c r="B25" s="6">
        <f/>
        <v/>
      </c>
      <c r="C25" s="22">
        <f/>
        <v/>
      </c>
      <c r="D25" s="6">
        <f/>
        <v/>
      </c>
    </row>
    <row r="26">
      <c r="A26" s="21">
        <f/>
        <v/>
      </c>
      <c r="B26" s="6">
        <f/>
        <v/>
      </c>
      <c r="C26" s="22">
        <f/>
        <v/>
      </c>
      <c r="D26" s="6">
        <f/>
        <v/>
      </c>
    </row>
    <row r="27">
      <c r="A27" s="21">
        <f/>
        <v/>
      </c>
      <c r="B27" s="6">
        <f/>
        <v/>
      </c>
      <c r="C27" s="22">
        <f/>
        <v/>
      </c>
      <c r="D27" s="6">
        <f/>
        <v/>
      </c>
    </row>
    <row r="28">
      <c r="A28" s="21">
        <f/>
        <v/>
      </c>
      <c r="B28" s="6">
        <f/>
        <v/>
      </c>
      <c r="C28" s="22">
        <f/>
        <v/>
      </c>
      <c r="D28" s="6">
        <f/>
        <v/>
      </c>
    </row>
    <row r="29">
      <c r="A29" s="21">
        <f/>
        <v/>
      </c>
      <c r="B29" s="6">
        <f/>
        <v/>
      </c>
      <c r="C29" s="22">
        <f/>
        <v/>
      </c>
      <c r="D29" s="6">
        <f/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tabSelected="1" workbookViewId="0">
      <selection activeCell="A10" sqref="A10"/>
    </sheetView>
  </sheetViews>
  <sheetFormatPr baseColWidth="8" defaultRowHeight="13.5"/>
  <sheetData>
    <row r="1">
      <c r="A1" t="inlineStr">
        <is>
          <t xml:space="preserve">Этот файл представляет собой файл-шаблон для Python-скрипта, предназначенного </t>
        </is>
      </c>
    </row>
    <row r="2">
      <c r="A2" t="inlineStr">
        <is>
          <t xml:space="preserve">для автоматизации работы с облигациями. </t>
        </is>
      </c>
    </row>
    <row r="4">
      <c r="A4" t="inlineStr">
        <is>
          <t xml:space="preserve">Скрипт загружает информацию о купонных выплатах и погашении номиналов </t>
        </is>
      </c>
    </row>
    <row r="5">
      <c r="A5" t="inlineStr">
        <is>
          <t xml:space="preserve">для заданных облигаций через API Московской биржи, а затем сохраняет </t>
        </is>
      </c>
    </row>
    <row r="6">
      <c r="A6" t="inlineStr">
        <is>
          <t xml:space="preserve">результаты на лист "Ден.поток". </t>
        </is>
      </c>
    </row>
    <row r="8">
      <c r="A8" t="inlineStr">
        <is>
          <t xml:space="preserve">В данном файле-шаблоне на листе "Аналитика" представлен анализ полученных </t>
        </is>
      </c>
    </row>
    <row r="9">
      <c r="A9" t="inlineStr">
        <is>
          <t xml:space="preserve">данных. </t>
        </is>
      </c>
    </row>
    <row r="11">
      <c r="A11" t="inlineStr">
        <is>
          <t xml:space="preserve">Этот файл-шаблон плюс Python-скрипт представляет инструмент, который эффективно </t>
        </is>
      </c>
    </row>
    <row r="12">
      <c r="A12" t="inlineStr">
        <is>
          <t>рассчитывает денежные потоки по облигациям, значительно упрощая процесс анализа.</t>
        </is>
      </c>
    </row>
    <row r="14">
      <c r="A14" t="inlineStr">
        <is>
          <t>Подробная статьи с описанием и другие скрипты:</t>
        </is>
      </c>
    </row>
    <row r="15">
      <c r="A15" s="10" t="inlineStr">
        <is>
          <t>https://github.com/empenoso/moex-bond-search-and-analysis</t>
        </is>
      </c>
    </row>
    <row r="17">
      <c r="A17" t="inlineStr">
        <is>
          <t>Автор: Михаил Шардин</t>
        </is>
      </c>
    </row>
    <row r="18">
      <c r="A18" s="10" t="inlineStr">
        <is>
          <t>https://shardin.name/</t>
        </is>
      </c>
    </row>
  </sheetData>
  <hyperlinks>
    <hyperlink xmlns:r="http://schemas.openxmlformats.org/officeDocument/2006/relationships" ref="A15" r:id="rId1"/>
    <hyperlink xmlns:r="http://schemas.openxmlformats.org/officeDocument/2006/relationships" ref="A1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михаил</dc:creator>
  <dcterms:created xsi:type="dcterms:W3CDTF">2025-01-29T02:58:54Z</dcterms:created>
  <dcterms:modified xsi:type="dcterms:W3CDTF">2026-07-27T12:15:09Z</dcterms:modified>
  <cp:lastModifiedBy>михаил</cp:lastModifiedBy>
</cp:coreProperties>
</file>